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rrent Baseline" sheetId="2" state="visible" r:id="rId2"/>
    <sheet name="Long Short What If" sheetId="3" state="visible" r:id="rId3"/>
    <sheet name="Assumptions" sheetId="4" state="visible" r:id="rId4"/>
    <sheet name="Daily Audit" sheetId="5" state="visible" r:id="rId5"/>
    <sheet name="Checks" sheetId="6" state="visible" r:id="rId6"/>
  </sheets>
  <definedNames>
    <definedName name="_xlnm._FilterDatabase" localSheetId="1" hidden="1">'Current Baseline'!$A$1:$M$6</definedName>
    <definedName name="_xlnm._FilterDatabase" localSheetId="2" hidden="1">'Long Short What If'!$A$1:$R$6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Logistic Regression: Current vs Preliminary Long/Short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'Summary'!C14</f>
            </strRef>
          </tx>
          <spPr>
            <a:ln>
              <a:prstDash val="solid"/>
            </a:ln>
          </spPr>
          <cat>
            <numRef>
              <f>'Summary'!$A$15:$A$16</f>
            </numRef>
          </cat>
          <val>
            <numRef>
              <f>'Summary'!$C$15:$C$16</f>
            </numRef>
          </val>
        </ser>
        <ser>
          <idx val="1"/>
          <order val="1"/>
          <tx>
            <strRef>
              <f>'Summary'!D14</f>
            </strRef>
          </tx>
          <spPr>
            <a:ln>
              <a:prstDash val="solid"/>
            </a:ln>
          </spPr>
          <cat>
            <numRef>
              <f>'Summary'!$A$15:$A$16</f>
            </numRef>
          </cat>
          <val>
            <numRef>
              <f>'Summary'!$D$15:$D$16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Metric 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13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21" customWidth="1" min="3" max="3"/>
    <col width="20" customWidth="1" min="4" max="4"/>
    <col width="22" customWidth="1" min="5" max="5"/>
    <col width="20" customWidth="1" min="6" max="6"/>
    <col width="24" customWidth="1" min="7" max="7"/>
    <col width="22" customWidth="1" min="8" max="8"/>
  </cols>
  <sheetData>
    <row r="1">
      <c r="A1" s="1" t="inlineStr">
        <is>
          <t>Item</t>
        </is>
      </c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Long/Short Research Snapshot</t>
        </is>
      </c>
      <c r="B2" s="2" t="inlineStr"/>
      <c r="C2" s="2" t="n"/>
      <c r="D2" s="2" t="n"/>
      <c r="E2" s="2" t="n"/>
      <c r="F2" s="2" t="n"/>
      <c r="G2" s="2" t="n"/>
      <c r="H2" s="2" t="n"/>
    </row>
    <row r="3">
      <c r="A3" s="2" t="inlineStr">
        <is>
          <t>Purpose</t>
        </is>
      </c>
      <c r="B3" s="2" t="inlineStr">
        <is>
          <t>Preserve current long/cash numbers and test a preliminary +1/-1 position mapping from saved prediction scores.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Source predictions</t>
        </is>
      </c>
      <c r="B4" s="2" t="inlineStr">
        <is>
          <t>data\processed\walk_forward_ml_predictions.csv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Source baseline results</t>
        </is>
      </c>
      <c r="B5" s="2" t="inlineStr">
        <is>
          <t>data\processed\walk_forward_ml_results.csv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Transaction cost</t>
        </is>
      </c>
      <c r="B6" s="2" t="inlineStr">
        <is>
          <t>1.0 bp per traded notional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Short borrow cost</t>
        </is>
      </c>
      <c r="B7" s="2" t="inlineStr">
        <is>
          <t>25.0 bps/year while short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Long rule</t>
        </is>
      </c>
      <c r="B8" s="2" t="inlineStr">
        <is>
          <t>score &gt;= 0.50 -&gt; +100% SPY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Short rule</t>
        </is>
      </c>
      <c r="B9" s="2" t="inlineStr">
        <is>
          <t>score &lt; 0.50 -&gt; -100% SPY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Execution caveat</t>
        </is>
      </c>
      <c r="B10" s="2" t="inlineStr">
        <is>
          <t>Daily close-to-close research assumption; not a broker-accurate short/margin model.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Best preliminary long/short model</t>
        </is>
      </c>
      <c r="B11" s="2" t="inlineStr">
        <is>
          <t>logistic_regression</t>
        </is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case</t>
        </is>
      </c>
      <c r="B14" s="2" t="inlineStr">
        <is>
          <t>strategy</t>
        </is>
      </c>
      <c r="C14" s="2" t="inlineStr">
        <is>
          <t>annual_return</t>
        </is>
      </c>
      <c r="D14" s="2" t="inlineStr">
        <is>
          <t>sharpe</t>
        </is>
      </c>
      <c r="E14" s="2" t="inlineStr">
        <is>
          <t>max_drawdown</t>
        </is>
      </c>
      <c r="F14" s="2" t="inlineStr">
        <is>
          <t>annual_turnover</t>
        </is>
      </c>
      <c r="G14" s="2" t="inlineStr">
        <is>
          <t>total_transaction_cost</t>
        </is>
      </c>
      <c r="H14" s="2" t="inlineStr">
        <is>
          <t>directional_accuracy</t>
        </is>
      </c>
    </row>
    <row r="15">
      <c r="A15" s="2" t="inlineStr">
        <is>
          <t>Current long/cash</t>
        </is>
      </c>
      <c r="B15" s="2" t="inlineStr">
        <is>
          <t>logistic_regression</t>
        </is>
      </c>
      <c r="C15" s="2" t="n">
        <v>0.2080256478976041</v>
      </c>
      <c r="D15" s="2" t="n">
        <v>1.407219949392436</v>
      </c>
      <c r="E15" s="2" t="n">
        <v>-0.1875523448942733</v>
      </c>
      <c r="F15" s="2" t="n">
        <v>26.4099122354156</v>
      </c>
      <c r="G15" s="2" t="n">
        <v>0.0203</v>
      </c>
      <c r="H15" s="2" t="n">
        <v>0.5394940629839958</v>
      </c>
    </row>
    <row r="16">
      <c r="A16" s="2" t="inlineStr">
        <is>
          <t>Prelim long/short</t>
        </is>
      </c>
      <c r="B16" s="2" t="inlineStr">
        <is>
          <t>logistic_regression</t>
        </is>
      </c>
      <c r="C16" s="2" t="n">
        <v>0.2401247254066343</v>
      </c>
      <c r="D16" s="2" t="n">
        <v>1.19862502774409</v>
      </c>
      <c r="E16" s="2" t="n">
        <v>-0.2516630474476674</v>
      </c>
      <c r="F16" s="2" t="n">
        <v>52.94992256066082</v>
      </c>
      <c r="G16" s="2" t="n">
        <v>0.0407</v>
      </c>
      <c r="H16" s="2" t="n">
        <v>0.5394940629839958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4" customWidth="1" min="12" max="12"/>
    <col width="22" customWidth="1" min="13" max="13"/>
  </cols>
  <sheetData>
    <row r="1">
      <c r="A1" s="1" t="inlineStr">
        <is>
          <t>strategy</t>
        </is>
      </c>
      <c r="B1" s="1" t="inlineStr">
        <is>
          <t>rows</t>
        </is>
      </c>
      <c r="C1" s="1" t="inlineStr">
        <is>
          <t>total_return</t>
        </is>
      </c>
      <c r="D1" s="1" t="inlineStr">
        <is>
          <t>annual_return</t>
        </is>
      </c>
      <c r="E1" s="1" t="inlineStr">
        <is>
          <t>annual_volatility</t>
        </is>
      </c>
      <c r="F1" s="1" t="inlineStr">
        <is>
          <t>sharpe</t>
        </is>
      </c>
      <c r="G1" s="1" t="inlineStr">
        <is>
          <t>max_drawdown</t>
        </is>
      </c>
      <c r="H1" s="1" t="inlineStr">
        <is>
          <t>calmar</t>
        </is>
      </c>
      <c r="I1" s="1" t="inlineStr">
        <is>
          <t>positive_day_rate</t>
        </is>
      </c>
      <c r="J1" s="1" t="inlineStr">
        <is>
          <t>avg_exposure</t>
        </is>
      </c>
      <c r="K1" s="1" t="inlineStr">
        <is>
          <t>annual_turnover</t>
        </is>
      </c>
      <c r="L1" s="1" t="inlineStr">
        <is>
          <t>total_transaction_cost</t>
        </is>
      </c>
      <c r="M1" s="1" t="inlineStr">
        <is>
          <t>directional_accuracy</t>
        </is>
      </c>
    </row>
    <row r="2">
      <c r="A2" s="2" t="inlineStr">
        <is>
          <t>logistic_regression</t>
        </is>
      </c>
      <c r="B2" s="3" t="n">
        <v>1937</v>
      </c>
      <c r="C2" s="4" t="n">
        <v>3.274437947850863</v>
      </c>
      <c r="D2" s="4" t="n">
        <v>0.2080256478976041</v>
      </c>
      <c r="E2" s="4" t="n">
        <v>0.1414172007626189</v>
      </c>
      <c r="F2" s="3" t="n">
        <v>1.407219949392436</v>
      </c>
      <c r="G2" s="4" t="n">
        <v>-0.1875523448942733</v>
      </c>
      <c r="H2" s="4" t="n">
        <v>1.109160474719055</v>
      </c>
      <c r="I2" s="4" t="n">
        <v>0.3675787299948373</v>
      </c>
      <c r="J2" s="4" t="n">
        <v>0.642230252968508</v>
      </c>
      <c r="K2" s="4" t="n">
        <v>26.4099122354156</v>
      </c>
      <c r="L2" s="4" t="n">
        <v>0.0203</v>
      </c>
      <c r="M2" s="4" t="n">
        <v>0.5394940629839958</v>
      </c>
    </row>
    <row r="3">
      <c r="A3" s="2" t="inlineStr">
        <is>
          <t>ridge_classifier</t>
        </is>
      </c>
      <c r="B3" s="3" t="n">
        <v>1937</v>
      </c>
      <c r="C3" s="4" t="n">
        <v>1.904650115857086</v>
      </c>
      <c r="D3" s="4" t="n">
        <v>0.1488084522966135</v>
      </c>
      <c r="E3" s="4" t="n">
        <v>0.1377328790005064</v>
      </c>
      <c r="F3" s="3" t="n">
        <v>1.076171480109475</v>
      </c>
      <c r="G3" s="4" t="n">
        <v>-0.1770753123798319</v>
      </c>
      <c r="H3" s="4" t="n">
        <v>0.8403681478613735</v>
      </c>
      <c r="I3" s="4" t="n">
        <v>0.3686112545172947</v>
      </c>
      <c r="J3" s="4" t="n">
        <v>0.6551368094992256</v>
      </c>
      <c r="K3" s="4" t="n">
        <v>19.12441920495612</v>
      </c>
      <c r="L3" s="4" t="n">
        <v>0.0147</v>
      </c>
      <c r="M3" s="4" t="n">
        <v>0.5286525554981931</v>
      </c>
    </row>
    <row r="4">
      <c r="A4" s="2" t="inlineStr">
        <is>
          <t>oos_buy_hold_SPY</t>
        </is>
      </c>
      <c r="B4" s="3" t="n">
        <v>1937</v>
      </c>
      <c r="C4" s="4" t="n">
        <v>2.014108317856844</v>
      </c>
      <c r="D4" s="4" t="n">
        <v>0.1543503841940396</v>
      </c>
      <c r="E4" s="4" t="n">
        <v>0.1958430249134778</v>
      </c>
      <c r="F4" s="3" t="n">
        <v>0.8313169359614954</v>
      </c>
      <c r="G4" s="4" t="n">
        <v>-0.3371726274233199</v>
      </c>
      <c r="H4" s="4" t="n">
        <v>0.4577785135572495</v>
      </c>
      <c r="I4" s="4" t="n">
        <v>0.5534331440371709</v>
      </c>
      <c r="J4" s="4" t="n">
        <v>1</v>
      </c>
      <c r="K4" s="4" t="n">
        <v>0</v>
      </c>
      <c r="L4" s="4" t="n">
        <v>0</v>
      </c>
      <c r="M4" s="4" t="n">
        <v>0.5534331440371709</v>
      </c>
    </row>
    <row r="5">
      <c r="A5" s="2" t="inlineStr">
        <is>
          <t>gradient_boosting</t>
        </is>
      </c>
      <c r="B5" s="3" t="n">
        <v>1937</v>
      </c>
      <c r="C5" s="4" t="n">
        <v>1.188959456647668</v>
      </c>
      <c r="D5" s="4" t="n">
        <v>0.107297392351003</v>
      </c>
      <c r="E5" s="4" t="n">
        <v>0.1630484807633302</v>
      </c>
      <c r="F5" s="3" t="n">
        <v>0.7065579601018096</v>
      </c>
      <c r="G5" s="4" t="n">
        <v>-0.2365050689354974</v>
      </c>
      <c r="H5" s="4" t="n">
        <v>0.4536790388212207</v>
      </c>
      <c r="I5" s="4" t="n">
        <v>0.3887454827052142</v>
      </c>
      <c r="J5" s="4" t="n">
        <v>0.7010841507485803</v>
      </c>
      <c r="K5" s="4" t="n">
        <v>51.38874548270521</v>
      </c>
      <c r="L5" s="4" t="n">
        <v>0.0395</v>
      </c>
      <c r="M5" s="4" t="n">
        <v>0.5240061951471348</v>
      </c>
    </row>
    <row r="6">
      <c r="A6" s="2" t="inlineStr">
        <is>
          <t>random_forest</t>
        </is>
      </c>
      <c r="B6" s="3" t="n">
        <v>1937</v>
      </c>
      <c r="C6" s="4" t="n">
        <v>0.7461028327498469</v>
      </c>
      <c r="D6" s="4" t="n">
        <v>0.0752088262339019</v>
      </c>
      <c r="E6" s="4" t="n">
        <v>0.1557248951545752</v>
      </c>
      <c r="F6" s="3" t="n">
        <v>0.5436840417144775</v>
      </c>
      <c r="G6" s="4" t="n">
        <v>-0.3276499023975711</v>
      </c>
      <c r="H6" s="4" t="n">
        <v>0.2295402064324236</v>
      </c>
      <c r="I6" s="4" t="n">
        <v>0.3009808982963345</v>
      </c>
      <c r="J6" s="4" t="n">
        <v>0.5508518327310273</v>
      </c>
      <c r="K6" s="4" t="n">
        <v>51.90913784202375</v>
      </c>
      <c r="L6" s="4" t="n">
        <v>0.0399</v>
      </c>
      <c r="M6" s="4" t="n">
        <v>0.4987093443469282</v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2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0" customWidth="1" min="9" max="9"/>
    <col width="14" customWidth="1" min="10" max="10"/>
    <col width="20" customWidth="1" min="11" max="11"/>
    <col width="24" customWidth="1" min="12" max="12"/>
    <col width="21" customWidth="1" min="13" max="13"/>
    <col width="21" customWidth="1" min="14" max="14"/>
    <col width="20" customWidth="1" min="15" max="15"/>
    <col width="15" customWidth="1" min="16" max="16"/>
    <col width="25" customWidth="1" min="17" max="17"/>
    <col width="22" customWidth="1" min="18" max="18"/>
  </cols>
  <sheetData>
    <row r="1">
      <c r="A1" s="1" t="inlineStr">
        <is>
          <t>strategy</t>
        </is>
      </c>
      <c r="B1" s="1" t="inlineStr">
        <is>
          <t>rows</t>
        </is>
      </c>
      <c r="C1" s="1" t="inlineStr">
        <is>
          <t>total_return</t>
        </is>
      </c>
      <c r="D1" s="1" t="inlineStr">
        <is>
          <t>annual_return</t>
        </is>
      </c>
      <c r="E1" s="1" t="inlineStr">
        <is>
          <t>annual_volatility</t>
        </is>
      </c>
      <c r="F1" s="1" t="inlineStr">
        <is>
          <t>sharpe</t>
        </is>
      </c>
      <c r="G1" s="1" t="inlineStr">
        <is>
          <t>max_drawdown</t>
        </is>
      </c>
      <c r="H1" s="1" t="inlineStr">
        <is>
          <t>calmar</t>
        </is>
      </c>
      <c r="I1" s="1" t="inlineStr">
        <is>
          <t>positive_day_rate</t>
        </is>
      </c>
      <c r="J1" s="1" t="inlineStr">
        <is>
          <t>avg_exposure</t>
        </is>
      </c>
      <c r="K1" s="1" t="inlineStr">
        <is>
          <t>annual_turnover</t>
        </is>
      </c>
      <c r="L1" s="1" t="inlineStr">
        <is>
          <t>total_transaction_cost</t>
        </is>
      </c>
      <c r="M1" s="1" t="inlineStr">
        <is>
          <t>avg_net_exposure</t>
        </is>
      </c>
      <c r="N1" s="1" t="inlineStr">
        <is>
          <t>short_day_rate</t>
        </is>
      </c>
      <c r="O1" s="1" t="inlineStr">
        <is>
          <t>long_day_rate</t>
        </is>
      </c>
      <c r="P1" s="1" t="inlineStr">
        <is>
          <t>cash_day_rate</t>
        </is>
      </c>
      <c r="Q1" s="1" t="inlineStr">
        <is>
          <t>total_short_borrow_cost</t>
        </is>
      </c>
      <c r="R1" s="1" t="inlineStr">
        <is>
          <t>directional_accuracy</t>
        </is>
      </c>
    </row>
    <row r="2">
      <c r="A2" s="2" t="inlineStr">
        <is>
          <t>logistic_regression</t>
        </is>
      </c>
      <c r="B2" s="3" t="n">
        <v>1937</v>
      </c>
      <c r="C2" s="4" t="n">
        <v>4.229043819275951</v>
      </c>
      <c r="D2" s="4" t="n">
        <v>0.2401247254066343</v>
      </c>
      <c r="E2" s="4" t="n">
        <v>0.1954699336327741</v>
      </c>
      <c r="F2" s="3" t="n">
        <v>1.19862502774409</v>
      </c>
      <c r="G2" s="4" t="n">
        <v>-0.2516630474476674</v>
      </c>
      <c r="H2" s="4" t="n">
        <v>0.9541517034063872</v>
      </c>
      <c r="I2" s="4" t="n">
        <v>0.537429013939081</v>
      </c>
      <c r="J2" s="4" t="n">
        <v>1</v>
      </c>
      <c r="K2" s="4" t="n">
        <v>52.94992256066082</v>
      </c>
      <c r="L2" s="4" t="n">
        <v>0.0407</v>
      </c>
      <c r="M2" s="4" t="n">
        <v>0.284460505937016</v>
      </c>
      <c r="N2" s="4" t="n">
        <v>0.357769747031492</v>
      </c>
      <c r="O2" s="4" t="n">
        <v>0.642230252968508</v>
      </c>
      <c r="P2" s="4" t="n">
        <v>0</v>
      </c>
      <c r="Q2" s="4" t="n">
        <v>0.006875</v>
      </c>
      <c r="R2" s="4" t="n">
        <v>0.5394940629839958</v>
      </c>
    </row>
    <row r="3">
      <c r="A3" s="2" t="inlineStr">
        <is>
          <t>oos_buy_hold_SPY</t>
        </is>
      </c>
      <c r="B3" s="3" t="n">
        <v>1937</v>
      </c>
      <c r="C3" s="4" t="n">
        <v>2.014108317856976</v>
      </c>
      <c r="D3" s="4" t="n">
        <v>0.1543503841940461</v>
      </c>
      <c r="E3" s="4" t="n">
        <v>0.1958430249134774</v>
      </c>
      <c r="F3" s="3" t="n">
        <v>0.8313169359614907</v>
      </c>
      <c r="G3" s="4" t="n">
        <v>-0.3371726274233192</v>
      </c>
      <c r="H3" s="4" t="n">
        <v>0.4577785135572695</v>
      </c>
      <c r="I3" s="4" t="n">
        <v>0.5534331440371709</v>
      </c>
      <c r="J3" s="4" t="n">
        <v>1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1</v>
      </c>
      <c r="P3" s="4" t="n">
        <v>0</v>
      </c>
      <c r="Q3" s="4" t="n">
        <v>0</v>
      </c>
      <c r="R3" s="4" t="n">
        <v>0.5534331440371709</v>
      </c>
    </row>
    <row r="4">
      <c r="A4" s="2" t="inlineStr">
        <is>
          <t>ridge_classifier</t>
        </is>
      </c>
      <c r="B4" s="3" t="n">
        <v>1937</v>
      </c>
      <c r="C4" s="4" t="n">
        <v>1.39462159681628</v>
      </c>
      <c r="D4" s="4" t="n">
        <v>0.1203094404606151</v>
      </c>
      <c r="E4" s="4" t="n">
        <v>0.1959163897212711</v>
      </c>
      <c r="F4" s="3" t="n">
        <v>0.6776645971813509</v>
      </c>
      <c r="G4" s="4" t="n">
        <v>-0.2328630665523562</v>
      </c>
      <c r="H4" s="4" t="n">
        <v>0.5166531654927128</v>
      </c>
      <c r="I4" s="4" t="n">
        <v>0.5265875064532782</v>
      </c>
      <c r="J4" s="4" t="n">
        <v>1</v>
      </c>
      <c r="K4" s="4" t="n">
        <v>38.37893649974187</v>
      </c>
      <c r="L4" s="4" t="n">
        <v>0.0295</v>
      </c>
      <c r="M4" s="4" t="n">
        <v>0.3102736189984512</v>
      </c>
      <c r="N4" s="4" t="n">
        <v>0.3448631905007744</v>
      </c>
      <c r="O4" s="4" t="n">
        <v>0.6551368094992256</v>
      </c>
      <c r="P4" s="4" t="n">
        <v>0</v>
      </c>
      <c r="Q4" s="4" t="n">
        <v>0.006626984126984127</v>
      </c>
      <c r="R4" s="4" t="n">
        <v>0.5286525554981931</v>
      </c>
    </row>
    <row r="5">
      <c r="A5" s="2" t="inlineStr">
        <is>
          <t>gradient_boosting</t>
        </is>
      </c>
      <c r="B5" s="3" t="n">
        <v>1937</v>
      </c>
      <c r="C5" s="4" t="n">
        <v>0.4429964795710246</v>
      </c>
      <c r="D5" s="4" t="n">
        <v>0.04886624160673936</v>
      </c>
      <c r="E5" s="4" t="n">
        <v>0.1960470656364509</v>
      </c>
      <c r="F5" s="3" t="n">
        <v>0.3409307906857707</v>
      </c>
      <c r="G5" s="4" t="n">
        <v>-0.3253221390207794</v>
      </c>
      <c r="H5" s="4" t="n">
        <v>0.1502087799921238</v>
      </c>
      <c r="I5" s="4" t="n">
        <v>0.5214248838409912</v>
      </c>
      <c r="J5" s="4" t="n">
        <v>1</v>
      </c>
      <c r="K5" s="4" t="n">
        <v>102.9075890552401</v>
      </c>
      <c r="L5" s="4" t="n">
        <v>0.0791</v>
      </c>
      <c r="M5" s="4" t="n">
        <v>0.4021683014971605</v>
      </c>
      <c r="N5" s="4" t="n">
        <v>0.2989158492514197</v>
      </c>
      <c r="O5" s="4" t="n">
        <v>0.7010841507485803</v>
      </c>
      <c r="P5" s="4" t="n">
        <v>0</v>
      </c>
      <c r="Q5" s="4" t="n">
        <v>0.005744047619047619</v>
      </c>
      <c r="R5" s="4" t="n">
        <v>0.5240061951471348</v>
      </c>
    </row>
    <row r="6">
      <c r="A6" s="2" t="inlineStr">
        <is>
          <t>random_forest</t>
        </is>
      </c>
      <c r="B6" s="3" t="n">
        <v>1937</v>
      </c>
      <c r="C6" s="4" t="n">
        <v>-0.1007028043722339</v>
      </c>
      <c r="D6" s="4" t="n">
        <v>-0.01371392969313301</v>
      </c>
      <c r="E6" s="4" t="n">
        <v>0.1961299250006339</v>
      </c>
      <c r="F6" s="3" t="n">
        <v>0.02759801583922106</v>
      </c>
      <c r="G6" s="4" t="n">
        <v>-0.4738358371420287</v>
      </c>
      <c r="H6" s="4" t="n">
        <v>-0.0289423648828452</v>
      </c>
      <c r="I6" s="4" t="n">
        <v>0.4971605575632421</v>
      </c>
      <c r="J6" s="4" t="n">
        <v>1</v>
      </c>
      <c r="K6" s="4" t="n">
        <v>103.6881775942179</v>
      </c>
      <c r="L6" s="4" t="n">
        <v>0.07970000000000001</v>
      </c>
      <c r="M6" s="4" t="n">
        <v>0.1017036654620547</v>
      </c>
      <c r="N6" s="4" t="n">
        <v>0.4491481672689727</v>
      </c>
      <c r="O6" s="4" t="n">
        <v>0.5508518327310273</v>
      </c>
      <c r="P6" s="4" t="n">
        <v>0</v>
      </c>
      <c r="Q6" s="4" t="n">
        <v>0.008630952380952382</v>
      </c>
      <c r="R6" s="4" t="n">
        <v>0.4987093443469283</v>
      </c>
    </row>
  </sheetData>
  <autoFilter ref="A1:R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6" customWidth="1" min="3" max="3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Reason / caveat</t>
        </is>
      </c>
    </row>
    <row r="2">
      <c r="A2" s="2" t="inlineStr">
        <is>
          <t>Position units</t>
        </is>
      </c>
      <c r="B2" s="5" t="inlineStr">
        <is>
          <t>+1 long, 0 cash, -1 short</t>
        </is>
      </c>
      <c r="C2" s="2" t="inlineStr">
        <is>
          <t>Represents portfolio weight / notional exposure, not share count.</t>
        </is>
      </c>
    </row>
    <row r="3">
      <c r="A3" s="2" t="inlineStr">
        <is>
          <t>Transaction cost</t>
        </is>
      </c>
      <c r="B3" s="5" t="n">
        <v>0.0001</v>
      </c>
      <c r="C3" s="2" t="inlineStr">
        <is>
          <t>Applied to turnover; +1 to -1 equals 200% turnover.</t>
        </is>
      </c>
    </row>
    <row r="4">
      <c r="A4" s="2" t="inlineStr">
        <is>
          <t>Short borrow cost</t>
        </is>
      </c>
      <c r="B4" s="5" t="n">
        <v>0.0025</v>
      </c>
      <c r="C4" s="2" t="inlineStr">
        <is>
          <t>Annualized placeholder while short; real borrow costs vary by broker and security.</t>
        </is>
      </c>
    </row>
    <row r="5">
      <c r="A5" s="2" t="inlineStr">
        <is>
          <t>Execution price</t>
        </is>
      </c>
      <c r="B5" s="5" t="inlineStr">
        <is>
          <t>Close-to-close proxy</t>
        </is>
      </c>
      <c r="C5" s="2" t="inlineStr">
        <is>
          <t>Live execution would need next open, close auction, limit order, or VWAP assumptions.</t>
        </is>
      </c>
    </row>
    <row r="6">
      <c r="A6" s="2" t="inlineStr">
        <is>
          <t>Margin</t>
        </is>
      </c>
      <c r="B6" s="5" t="inlineStr">
        <is>
          <t>Not modeled</t>
        </is>
      </c>
      <c r="C6" s="2" t="inlineStr">
        <is>
          <t>Real brokers require margin and can force liquidation.</t>
        </is>
      </c>
    </row>
    <row r="7">
      <c r="A7" s="2" t="inlineStr">
        <is>
          <t>Borrow availability</t>
        </is>
      </c>
      <c r="B7" s="5" t="inlineStr">
        <is>
          <t>Not modeled</t>
        </is>
      </c>
      <c r="C7" s="2" t="inlineStr">
        <is>
          <t>Some stocks cannot be shorted or become hard-to-borrow.</t>
        </is>
      </c>
    </row>
    <row r="8">
      <c r="A8" s="2" t="inlineStr">
        <is>
          <t>Universe</t>
        </is>
      </c>
      <c r="B8" s="5" t="inlineStr">
        <is>
          <t>SPY only</t>
        </is>
      </c>
      <c r="C8" s="2" t="inlineStr">
        <is>
          <t>This does not yet test multi-asset rotation or stock selection.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21" customWidth="1" min="4" max="4"/>
    <col width="18" customWidth="1" min="5" max="5"/>
    <col width="19" customWidth="1" min="6" max="6"/>
    <col width="21" customWidth="1" min="7" max="7"/>
    <col width="14" customWidth="1" min="8" max="8"/>
    <col width="20" customWidth="1" min="9" max="9"/>
  </cols>
  <sheetData>
    <row r="1">
      <c r="A1" s="1" t="inlineStr">
        <is>
          <t>Date</t>
        </is>
      </c>
      <c r="B1" s="1" t="inlineStr">
        <is>
          <t>position</t>
        </is>
      </c>
      <c r="C1" s="1" t="inlineStr">
        <is>
          <t>actual_return</t>
        </is>
      </c>
      <c r="D1" s="1" t="inlineStr">
        <is>
          <t>gross_return</t>
        </is>
      </c>
      <c r="E1" s="1" t="inlineStr">
        <is>
          <t>transaction_cost</t>
        </is>
      </c>
      <c r="F1" s="1" t="inlineStr">
        <is>
          <t>short_borrow_cost</t>
        </is>
      </c>
      <c r="G1" s="1" t="inlineStr">
        <is>
          <t>strategy_return</t>
        </is>
      </c>
      <c r="H1" s="1" t="inlineStr">
        <is>
          <t>turnover</t>
        </is>
      </c>
      <c r="I1" s="1" t="inlineStr">
        <is>
          <t>equity_curve</t>
        </is>
      </c>
    </row>
    <row r="2">
      <c r="A2" s="6" t="n">
        <v>46170</v>
      </c>
      <c r="B2" s="3" t="n">
        <v>1</v>
      </c>
      <c r="C2" s="4" t="n">
        <v>0.0024914048034492</v>
      </c>
      <c r="D2" s="4" t="n">
        <v>0.0024914048034492</v>
      </c>
      <c r="E2" s="4" t="n">
        <v>0</v>
      </c>
      <c r="F2" s="4" t="n">
        <v>0</v>
      </c>
      <c r="G2" s="4" t="n">
        <v>0.0024914048034492</v>
      </c>
      <c r="H2" s="3" t="n">
        <v>0</v>
      </c>
      <c r="I2" s="2" t="n">
        <v>5.24898238776041</v>
      </c>
    </row>
    <row r="3">
      <c r="A3" s="6" t="n">
        <v>46171</v>
      </c>
      <c r="B3" s="3" t="n">
        <v>1</v>
      </c>
      <c r="C3" s="4" t="n">
        <v>0.0027231134609038</v>
      </c>
      <c r="D3" s="4" t="n">
        <v>0.0027231134609038</v>
      </c>
      <c r="E3" s="4" t="n">
        <v>0</v>
      </c>
      <c r="F3" s="4" t="n">
        <v>0</v>
      </c>
      <c r="G3" s="4" t="n">
        <v>0.0027231134609038</v>
      </c>
      <c r="H3" s="3" t="n">
        <v>0</v>
      </c>
      <c r="I3" s="2" t="n">
        <v>5.263275962356568</v>
      </c>
    </row>
    <row r="4">
      <c r="A4" s="6" t="n">
        <v>46174</v>
      </c>
      <c r="B4" s="3" t="n">
        <v>1</v>
      </c>
      <c r="C4" s="4" t="n">
        <v>0.0013579397972762</v>
      </c>
      <c r="D4" s="4" t="n">
        <v>0.0013579397972762</v>
      </c>
      <c r="E4" s="4" t="n">
        <v>0</v>
      </c>
      <c r="F4" s="4" t="n">
        <v>0</v>
      </c>
      <c r="G4" s="4" t="n">
        <v>0.0013579397972762</v>
      </c>
      <c r="H4" s="3" t="n">
        <v>0</v>
      </c>
      <c r="I4" s="2" t="n">
        <v>5.2704231742499</v>
      </c>
    </row>
    <row r="5">
      <c r="A5" s="6" t="n">
        <v>46175</v>
      </c>
      <c r="B5" s="3" t="n">
        <v>1</v>
      </c>
      <c r="C5" s="4" t="n">
        <v>-0.0070171823204998</v>
      </c>
      <c r="D5" s="4" t="n">
        <v>-0.0070171823204998</v>
      </c>
      <c r="E5" s="4" t="n">
        <v>0</v>
      </c>
      <c r="F5" s="4" t="n">
        <v>0</v>
      </c>
      <c r="G5" s="4" t="n">
        <v>-0.0070171823204998</v>
      </c>
      <c r="H5" s="3" t="n">
        <v>0</v>
      </c>
      <c r="I5" s="2" t="n">
        <v>5.233439653930001</v>
      </c>
    </row>
    <row r="6">
      <c r="A6" s="6" t="n">
        <v>46176</v>
      </c>
      <c r="B6" s="3" t="n">
        <v>1</v>
      </c>
      <c r="C6" s="4" t="n">
        <v>0.0037786857621391</v>
      </c>
      <c r="D6" s="4" t="n">
        <v>0.0037786857621391</v>
      </c>
      <c r="E6" s="4" t="n">
        <v>0</v>
      </c>
      <c r="F6" s="4" t="n">
        <v>0</v>
      </c>
      <c r="G6" s="4" t="n">
        <v>0.0037786857621391</v>
      </c>
      <c r="H6" s="3" t="n">
        <v>0</v>
      </c>
      <c r="I6" s="2" t="n">
        <v>5.253215177837321</v>
      </c>
    </row>
    <row r="7">
      <c r="A7" s="6" t="n">
        <v>46177</v>
      </c>
      <c r="B7" s="3" t="n">
        <v>1</v>
      </c>
      <c r="C7" s="4" t="n">
        <v>-0.0258093712489256</v>
      </c>
      <c r="D7" s="4" t="n">
        <v>-0.0258093712489256</v>
      </c>
      <c r="E7" s="4" t="n">
        <v>0</v>
      </c>
      <c r="F7" s="4" t="n">
        <v>0</v>
      </c>
      <c r="G7" s="4" t="n">
        <v>-0.0258093712489256</v>
      </c>
      <c r="H7" s="3" t="n">
        <v>0</v>
      </c>
      <c r="I7" s="2" t="n">
        <v>5.117632997062027</v>
      </c>
    </row>
    <row r="8">
      <c r="A8" s="6" t="n">
        <v>46178</v>
      </c>
      <c r="B8" s="3" t="n">
        <v>1</v>
      </c>
      <c r="C8" s="4" t="n">
        <v>0.0022641726087715</v>
      </c>
      <c r="D8" s="4" t="n">
        <v>0.0022641726087715</v>
      </c>
      <c r="E8" s="4" t="n">
        <v>0</v>
      </c>
      <c r="F8" s="4" t="n">
        <v>0</v>
      </c>
      <c r="G8" s="4" t="n">
        <v>0.0022641726087715</v>
      </c>
      <c r="H8" s="3" t="n">
        <v>0</v>
      </c>
      <c r="I8" s="2" t="n">
        <v>5.129220201515721</v>
      </c>
    </row>
    <row r="9">
      <c r="A9" s="6" t="n">
        <v>46181</v>
      </c>
      <c r="B9" s="3" t="n">
        <v>1</v>
      </c>
      <c r="C9" s="4" t="n">
        <v>-0.0029354505508077</v>
      </c>
      <c r="D9" s="4" t="n">
        <v>-0.0029354505508077</v>
      </c>
      <c r="E9" s="4" t="n">
        <v>0</v>
      </c>
      <c r="F9" s="4" t="n">
        <v>0</v>
      </c>
      <c r="G9" s="4" t="n">
        <v>-0.0029354505508077</v>
      </c>
      <c r="H9" s="3" t="n">
        <v>0</v>
      </c>
      <c r="I9" s="2" t="n">
        <v>5.114163629249967</v>
      </c>
    </row>
    <row r="10">
      <c r="A10" s="6" t="n">
        <v>46182</v>
      </c>
      <c r="B10" s="3" t="n">
        <v>1</v>
      </c>
      <c r="C10" s="4" t="n">
        <v>-0.0157655625080272</v>
      </c>
      <c r="D10" s="4" t="n">
        <v>-0.0157655625080272</v>
      </c>
      <c r="E10" s="4" t="n">
        <v>0</v>
      </c>
      <c r="F10" s="4" t="n">
        <v>0</v>
      </c>
      <c r="G10" s="4" t="n">
        <v>-0.0157655625080272</v>
      </c>
      <c r="H10" s="3" t="n">
        <v>0</v>
      </c>
      <c r="I10" s="2" t="n">
        <v>5.033535962876748</v>
      </c>
    </row>
    <row r="11">
      <c r="A11" s="6" t="n">
        <v>46183</v>
      </c>
      <c r="B11" s="3" t="n">
        <v>1</v>
      </c>
      <c r="C11" s="4" t="n">
        <v>0.0169968478867479</v>
      </c>
      <c r="D11" s="4" t="n">
        <v>0.0169968478867479</v>
      </c>
      <c r="E11" s="4" t="n">
        <v>0</v>
      </c>
      <c r="F11" s="4" t="n">
        <v>0</v>
      </c>
      <c r="G11" s="4" t="n">
        <v>0.0169968478867479</v>
      </c>
      <c r="H11" s="3" t="n">
        <v>0</v>
      </c>
      <c r="I11" s="2" t="n">
        <v>5.119090207970239</v>
      </c>
    </row>
    <row r="12">
      <c r="A12" s="6" t="n">
        <v>46184</v>
      </c>
      <c r="B12" s="3" t="n">
        <v>1</v>
      </c>
      <c r="C12" s="4" t="n">
        <v>0.0054082479015293</v>
      </c>
      <c r="D12" s="4" t="n">
        <v>0.0054082479015293</v>
      </c>
      <c r="E12" s="4" t="n">
        <v>0</v>
      </c>
      <c r="F12" s="4" t="n">
        <v>0</v>
      </c>
      <c r="G12" s="4" t="n">
        <v>0.0054082479015293</v>
      </c>
      <c r="H12" s="3" t="n">
        <v>0</v>
      </c>
      <c r="I12" s="2" t="n">
        <v>5.146775516845234</v>
      </c>
    </row>
    <row r="13">
      <c r="A13" s="6" t="n">
        <v>46185</v>
      </c>
      <c r="B13" s="3" t="n">
        <v>1</v>
      </c>
      <c r="C13" s="4" t="n">
        <v>0.0176339698937533</v>
      </c>
      <c r="D13" s="4" t="n">
        <v>0.0176339698937533</v>
      </c>
      <c r="E13" s="4" t="n">
        <v>0</v>
      </c>
      <c r="F13" s="4" t="n">
        <v>0</v>
      </c>
      <c r="G13" s="4" t="n">
        <v>0.0176339698937533</v>
      </c>
      <c r="H13" s="3" t="n">
        <v>0</v>
      </c>
      <c r="I13" s="2" t="n">
        <v>5.23753360135919</v>
      </c>
    </row>
    <row r="14">
      <c r="A14" s="6" t="n">
        <v>46188</v>
      </c>
      <c r="B14" s="3" t="n">
        <v>1</v>
      </c>
      <c r="C14" s="4" t="n">
        <v>-0.0059615628442341</v>
      </c>
      <c r="D14" s="4" t="n">
        <v>-0.0059615628442341</v>
      </c>
      <c r="E14" s="4" t="n">
        <v>0</v>
      </c>
      <c r="F14" s="4" t="n">
        <v>0</v>
      </c>
      <c r="G14" s="4" t="n">
        <v>-0.0059615628442341</v>
      </c>
      <c r="H14" s="3" t="n">
        <v>0</v>
      </c>
      <c r="I14" s="2" t="n">
        <v>5.206309715645899</v>
      </c>
    </row>
    <row r="15">
      <c r="A15" s="6" t="n">
        <v>46189</v>
      </c>
      <c r="B15" s="3" t="n">
        <v>1</v>
      </c>
      <c r="C15" s="4" t="n">
        <v>-0.0124878708850514</v>
      </c>
      <c r="D15" s="4" t="n">
        <v>-0.0124878708850514</v>
      </c>
      <c r="E15" s="4" t="n">
        <v>0</v>
      </c>
      <c r="F15" s="4" t="n">
        <v>0</v>
      </c>
      <c r="G15" s="4" t="n">
        <v>-0.0124878708850514</v>
      </c>
      <c r="H15" s="3" t="n">
        <v>0</v>
      </c>
      <c r="I15" s="2" t="n">
        <v>5.141293992129325</v>
      </c>
    </row>
    <row r="16">
      <c r="A16" s="6" t="n">
        <v>46190</v>
      </c>
      <c r="B16" s="3" t="n">
        <v>1</v>
      </c>
      <c r="C16" s="4" t="n">
        <v>0.0103969924419595</v>
      </c>
      <c r="D16" s="4" t="n">
        <v>0.0103969924419595</v>
      </c>
      <c r="E16" s="4" t="n">
        <v>0</v>
      </c>
      <c r="F16" s="4" t="n">
        <v>0</v>
      </c>
      <c r="G16" s="4" t="n">
        <v>0.0103969924419595</v>
      </c>
      <c r="H16" s="3" t="n">
        <v>0</v>
      </c>
      <c r="I16" s="2" t="n">
        <v>5.194747986907386</v>
      </c>
    </row>
    <row r="17">
      <c r="A17" s="6" t="n">
        <v>46191</v>
      </c>
      <c r="B17" s="3" t="n">
        <v>1</v>
      </c>
      <c r="C17" s="4" t="n">
        <v>-0.0031469796939627</v>
      </c>
      <c r="D17" s="4" t="n">
        <v>-0.0031469796939627</v>
      </c>
      <c r="E17" s="4" t="n">
        <v>0</v>
      </c>
      <c r="F17" s="4" t="n">
        <v>0</v>
      </c>
      <c r="G17" s="4" t="n">
        <v>-0.0031469796939627</v>
      </c>
      <c r="H17" s="3" t="n">
        <v>0</v>
      </c>
      <c r="I17" s="2" t="n">
        <v>5.178400220477334</v>
      </c>
    </row>
    <row r="18">
      <c r="A18" s="6" t="n">
        <v>46195</v>
      </c>
      <c r="B18" s="3" t="n">
        <v>1</v>
      </c>
      <c r="C18" s="4" t="n">
        <v>-0.0145219540104916</v>
      </c>
      <c r="D18" s="4" t="n">
        <v>-0.0145219540104916</v>
      </c>
      <c r="E18" s="4" t="n">
        <v>0</v>
      </c>
      <c r="F18" s="4" t="n">
        <v>0</v>
      </c>
      <c r="G18" s="4" t="n">
        <v>-0.0145219540104916</v>
      </c>
      <c r="H18" s="3" t="n">
        <v>0</v>
      </c>
      <c r="I18" s="2" t="n">
        <v>5.103199730627643</v>
      </c>
    </row>
    <row r="19">
      <c r="A19" s="6" t="n">
        <v>46196</v>
      </c>
      <c r="B19" s="3" t="n">
        <v>1</v>
      </c>
      <c r="C19" s="4" t="n">
        <v>-0.0004635170636431</v>
      </c>
      <c r="D19" s="4" t="n">
        <v>-0.0004635170636431</v>
      </c>
      <c r="E19" s="4" t="n">
        <v>0</v>
      </c>
      <c r="F19" s="4" t="n">
        <v>0</v>
      </c>
      <c r="G19" s="4" t="n">
        <v>-0.0004635170636431</v>
      </c>
      <c r="H19" s="3" t="n">
        <v>0</v>
      </c>
      <c r="I19" s="2" t="n">
        <v>5.100834310473318</v>
      </c>
    </row>
    <row r="20">
      <c r="A20" s="6" t="n">
        <v>46197</v>
      </c>
      <c r="B20" s="3" t="n">
        <v>1</v>
      </c>
      <c r="C20" s="4" t="n">
        <v>0.0014456352254532</v>
      </c>
      <c r="D20" s="4" t="n">
        <v>0.0014456352254532</v>
      </c>
      <c r="E20" s="4" t="n">
        <v>0</v>
      </c>
      <c r="F20" s="4" t="n">
        <v>0</v>
      </c>
      <c r="G20" s="4" t="n">
        <v>0.0014456352254532</v>
      </c>
      <c r="H20" s="3" t="n">
        <v>0</v>
      </c>
      <c r="I20" s="2" t="n">
        <v>5.108208256231739</v>
      </c>
    </row>
    <row r="21">
      <c r="A21" s="6" t="n">
        <v>46198</v>
      </c>
      <c r="B21" s="3" t="n">
        <v>1</v>
      </c>
      <c r="C21" s="4" t="n">
        <v>-0.0072313736168696</v>
      </c>
      <c r="D21" s="4" t="n">
        <v>-0.0072313736168696</v>
      </c>
      <c r="E21" s="4" t="n">
        <v>0</v>
      </c>
      <c r="F21" s="4" t="n">
        <v>0</v>
      </c>
      <c r="G21" s="4" t="n">
        <v>-0.0072313736168696</v>
      </c>
      <c r="H21" s="3" t="n">
        <v>0</v>
      </c>
      <c r="I21" s="2" t="n">
        <v>5.071268893818149</v>
      </c>
    </row>
    <row r="22">
      <c r="A22" s="6" t="n">
        <v>46199</v>
      </c>
      <c r="B22" s="3" t="n">
        <v>1</v>
      </c>
      <c r="C22" s="4" t="n">
        <v>0.0164748623801593</v>
      </c>
      <c r="D22" s="4" t="n">
        <v>0.0164748623801593</v>
      </c>
      <c r="E22" s="4" t="n">
        <v>0</v>
      </c>
      <c r="F22" s="4" t="n">
        <v>0</v>
      </c>
      <c r="G22" s="4" t="n">
        <v>0.0164748623801593</v>
      </c>
      <c r="H22" s="3" t="n">
        <v>0</v>
      </c>
      <c r="I22" s="2" t="n">
        <v>5.154817350936586</v>
      </c>
    </row>
    <row r="23">
      <c r="A23" s="6" t="n">
        <v>46202</v>
      </c>
      <c r="B23" s="3" t="n">
        <v>1</v>
      </c>
      <c r="C23" s="4" t="n">
        <v>0.007786800986842</v>
      </c>
      <c r="D23" s="4" t="n">
        <v>0.007786800986842</v>
      </c>
      <c r="E23" s="4" t="n">
        <v>0</v>
      </c>
      <c r="F23" s="4" t="n">
        <v>0</v>
      </c>
      <c r="G23" s="4" t="n">
        <v>0.007786800986842</v>
      </c>
      <c r="H23" s="3" t="n">
        <v>0</v>
      </c>
      <c r="I23" s="2" t="n">
        <v>5.194956887771849</v>
      </c>
    </row>
    <row r="24">
      <c r="A24" s="6" t="n">
        <v>46203</v>
      </c>
      <c r="B24" s="3" t="n">
        <v>1</v>
      </c>
      <c r="C24" s="4" t="n">
        <v>-0.0013525044380584</v>
      </c>
      <c r="D24" s="4" t="n">
        <v>-0.0013525044380584</v>
      </c>
      <c r="E24" s="4" t="n">
        <v>0</v>
      </c>
      <c r="F24" s="4" t="n">
        <v>0</v>
      </c>
      <c r="G24" s="4" t="n">
        <v>-0.0013525044380584</v>
      </c>
      <c r="H24" s="3" t="n">
        <v>0</v>
      </c>
      <c r="I24" s="2" t="n">
        <v>5.187930685525616</v>
      </c>
    </row>
    <row r="25">
      <c r="A25" s="6" t="n">
        <v>46204</v>
      </c>
      <c r="B25" s="3" t="n">
        <v>1</v>
      </c>
      <c r="C25" s="4" t="n">
        <v>-0.0013140694806872</v>
      </c>
      <c r="D25" s="4" t="n">
        <v>-0.0013140694806872</v>
      </c>
      <c r="E25" s="4" t="n">
        <v>0</v>
      </c>
      <c r="F25" s="4" t="n">
        <v>0</v>
      </c>
      <c r="G25" s="4" t="n">
        <v>-0.0013140694806872</v>
      </c>
      <c r="H25" s="3" t="n">
        <v>0</v>
      </c>
      <c r="I25" s="2" t="n">
        <v>5.181113384143845</v>
      </c>
    </row>
    <row r="26">
      <c r="A26" s="6" t="n">
        <v>46205</v>
      </c>
      <c r="B26" s="3" t="n">
        <v>1</v>
      </c>
      <c r="C26" s="4" t="n">
        <v>0.009250991356180399</v>
      </c>
      <c r="D26" s="4" t="n">
        <v>0.009250991356180399</v>
      </c>
      <c r="E26" s="4" t="n">
        <v>0</v>
      </c>
      <c r="F26" s="4" t="n">
        <v>0</v>
      </c>
      <c r="G26" s="4" t="n">
        <v>0.009250991356180399</v>
      </c>
      <c r="H26" s="3" t="n">
        <v>0</v>
      </c>
      <c r="I26" s="2" t="n">
        <v>5.229043819275951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36" customWidth="1" min="5" max="5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Prediction rows</t>
        </is>
      </c>
      <c r="B2" s="2" t="n">
        <v>7748</v>
      </c>
      <c r="C2" s="2" t="inlineStr">
        <is>
          <t>&gt; 0</t>
        </is>
      </c>
      <c r="D2" s="7" t="inlineStr">
        <is>
          <t>OK</t>
        </is>
      </c>
      <c r="E2" s="2" t="inlineStr">
        <is>
          <t>Saved ML prediction rows loaded.</t>
        </is>
      </c>
    </row>
    <row r="3">
      <c r="A3" s="2" t="inlineStr">
        <is>
          <t>Baseline strategies</t>
        </is>
      </c>
      <c r="B3" s="2" t="n">
        <v>5</v>
      </c>
      <c r="C3" s="2" t="inlineStr">
        <is>
          <t>&gt;= 5</t>
        </is>
      </c>
      <c r="D3" s="7" t="inlineStr">
        <is>
          <t>OK</t>
        </is>
      </c>
      <c r="E3" s="2" t="inlineStr">
        <is>
          <t>Current long/cash baseline result rows.</t>
        </is>
      </c>
    </row>
    <row r="4">
      <c r="A4" s="2" t="inlineStr">
        <is>
          <t>Long/short strategies</t>
        </is>
      </c>
      <c r="B4" s="2" t="n">
        <v>5</v>
      </c>
      <c r="C4" s="2" t="inlineStr">
        <is>
          <t>&gt;= 5</t>
        </is>
      </c>
      <c r="D4" s="7" t="inlineStr">
        <is>
          <t>OK</t>
        </is>
      </c>
      <c r="E4" s="2" t="inlineStr">
        <is>
          <t>Preliminary what-if result rows.</t>
        </is>
      </c>
    </row>
    <row r="5">
      <c r="A5" s="2" t="inlineStr">
        <is>
          <t>Transaction cost bps</t>
        </is>
      </c>
      <c r="B5" s="2" t="n">
        <v>1</v>
      </c>
      <c r="C5" s="2" t="inlineStr">
        <is>
          <t>1.0</t>
        </is>
      </c>
      <c r="D5" s="7" t="inlineStr">
        <is>
          <t>OK</t>
        </is>
      </c>
      <c r="E5" s="2" t="inlineStr">
        <is>
          <t>Matches current notebook assumption.</t>
        </is>
      </c>
    </row>
    <row r="6">
      <c r="A6" s="2" t="inlineStr">
        <is>
          <t>Short borrow cost bps</t>
        </is>
      </c>
      <c r="B6" s="2" t="n">
        <v>25</v>
      </c>
      <c r="C6" s="2" t="inlineStr">
        <is>
          <t>25.0</t>
        </is>
      </c>
      <c r="D6" s="7" t="inlineStr">
        <is>
          <t>OK</t>
        </is>
      </c>
      <c r="E6" s="2" t="inlineStr">
        <is>
          <t>Research placeholder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2026-07-12T14:50:50Z</dcterms:created>
  <dcterms:modified xsi:type="dcterms:W3CDTF">2026-07-12T14:50:50Z</dcterms:modified>
</cp:coreProperties>
</file>